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257b9808c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6544c966305644cc"/>
    <x:sheet xmlns:r="http://schemas.openxmlformats.org/officeDocument/2006/relationships" name="Monthly" sheetId="2" r:id="Rd3ccecbdc52445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5">
    <x:font>
      <x:sz val="11"/>
      <x:name val="Carlito"/>
    </x:font>
    <x:font>
      <x:sz val="10"/>
      <x:color rgb="FF203645"/>
      <x:name val="Arial"/>
    </x:font>
    <x:font>
      <x:b/>
      <x:sz val="16"/>
      <x:color rgb="FF203645"/>
      <x:name val="Arial"/>
    </x:font>
    <x:font>
      <x:b/>
      <x:sz val="10"/>
      <x:color rgb="FF20364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0BC"/>
      </x:patternFill>
    </x:fill>
    <x:fill>
      <x:patternFill patternType="solid">
        <x:fgColor rgb="FF20364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d2a228126f456a" /><Relationship Type="http://schemas.openxmlformats.org/officeDocument/2006/relationships/theme" Target="/xl/theme/theme1.xml" Id="Rd4e39cf0ee1e49ce" /><Relationship Type="http://schemas.openxmlformats.org/officeDocument/2006/relationships/sharedStrings" Target="/xl/sharedStrings.xml" Id="Raf7ea2ac069f4aee" /><Relationship Type="http://schemas.openxmlformats.org/officeDocument/2006/relationships/worksheet" Target="/xl/worksheets/sheet1.xml" Id="R6544c966305644cc" /><Relationship Type="http://schemas.openxmlformats.org/officeDocument/2006/relationships/worksheet" Target="/xl/worksheets/sheet2.xml" Id="Rd3ccecbdc52445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dea7aeb2642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On-time delivery by purchase month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On time</c:v>
          </c:tx>
          <c:spPr>
            <a:ln xmlns:a="http://schemas.openxmlformats.org/drawingml/2006/main" w="19050">
              <a:solidFill>
                <a:srgbClr val="087F78"/>
              </a:solidFill>
              <a:prstDash val="solid"/>
            </a:ln>
          </c:spPr>
          <c:marker>
            <c:symbol val="none"/>
          </c:marker>
          <c:cat>
            <c:strRef>
              <c:f>Monthly!$H$6:$H$28</c:f>
              <c:strCache>
                <c:ptCount val="0"/>
              </c:strCache>
            </c:strRef>
          </c:cat>
          <c:val>
            <c:numRef>
              <c:f>Monthly!$F$6:$F$28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dea7aeb2642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c9f3c4c53a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Promise Integrity: Metric reconciliation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0" customHeight="1">
      <x:c r="A4" s="9" t="str">
        <x:v>Metric</x:v>
      </x:c>
      <x:c r="B4" s="9" t="str">
        <x:v>Calculated result</x:v>
      </x:c>
      <x:c r="C4" s="9" t="str">
        <x:v>Pipeline control</x:v>
      </x:c>
      <x:c r="D4" s="9" t="str">
        <x:v>Difference</x:v>
      </x:c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Eligible delivered orders</x:v>
      </x:c>
      <x:c r="B5" s="3" t="n">
        <x:f>SUM(Monthly!B6:B28)</x:f>
        <x:v>96470</x:v>
      </x:c>
      <x:c r="C5" s="3" t="n">
        <x:v>96470</x:v>
      </x:c>
      <x:c r="D5" s="3" t="n">
        <x:f>B5-C5</x:f>
        <x:v>0</x:v>
      </x:c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Recorded-promise on-time rate</x:v>
      </x:c>
      <x:c r="B6" s="4" t="n">
        <x:f>SUM(Monthly!C6:C28)/B5</x:f>
        <x:v>0.9322690992018244</x:v>
      </x:c>
      <x:c r="C6" s="4" t="n">
        <x:v>0.9322690992018244</x:v>
      </x:c>
      <x:c r="D6" s="4" t="n">
        <x:f>B6-C6</x:f>
        <x:v>0</x:v>
      </x:c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Reviewed on-time orders</x:v>
      </x:c>
      <x:c r="B7" s="3" t="n">
        <x:f>SUM(Monthly!D6:D28)</x:f>
        <x:v>89151</x:v>
      </x:c>
      <x:c r="C7" s="3" t="n">
        <x:v>89151</x:v>
      </x:c>
      <x:c r="D7" s="3" t="n">
        <x:f>B7-C7</x:f>
        <x:v>0</x:v>
      </x:c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Hidden failure orders</x:v>
      </x:c>
      <x:c r="B8" s="3" t="n">
        <x:f>SUM(Monthly!E6:E28)</x:f>
        <x:v>8238</x:v>
      </x:c>
      <x:c r="C8" s="3" t="n">
        <x:v>8238</x:v>
      </x:c>
      <x:c r="D8" s="3" t="n">
        <x:f>B8-C8</x:f>
        <x:v>0</x:v>
      </x:c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Hidden failure rate</x:v>
      </x:c>
      <x:c r="B9" s="4" t="n">
        <x:f>B8/B7</x:f>
        <x:v>0.09240502069522495</x:v>
      </x:c>
      <x:c r="C9" s="4" t="n">
        <x:v>0.09240502069522495</x:v>
      </x:c>
      <x:c r="D9" s="4" t="n">
        <x:f>B9-C9</x:f>
        <x:v>0</x:v>
      </x:c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Selected purchase month</x:v>
      </x:c>
      <x:c r="B12" s="5" t="str">
        <x:v>2018-06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30" customHeight="1">
      <x:c r="A14" s="9" t="str">
        <x:v>Selected-month metric</x:v>
      </x:c>
      <x:c r="B14" s="9" t="str">
        <x:v>Result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 t="str">
        <x:v>Eligible orders</x:v>
      </x:c>
      <x:c r="B15" s="1" t="n">
        <x:f>SUMIFS(Monthly!B6:B28,Monthly!A6:A28,B12)</x:f>
        <x:v>6096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 t="str">
        <x:v>Hidden failures</x:v>
      </x:c>
      <x:c r="B16" s="1" t="n">
        <x:f>SUMIFS(Monthly!E6:E28,Monthly!A6:A28,B12)</x:f>
        <x:v>562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 t="str">
        <x:v>Hidden failure rate</x:v>
      </x:c>
      <x:c r="B17" s="4" t="n">
        <x:f>INDEX(Monthly!G6:G28,MATCH(B12,Monthly!A6:A28,0))</x:f>
        <x:v>0.09372915276851235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6" t="str">
        <x:v>Definitions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 t="str">
        <x:v>On time: delivered calendar date &lt;= recorded estimate date.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 t="str">
        <x:v>Hidden failure: score &lt;= 2, first review answered at/after delivery.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 t="str">
        <x:v>Rate denominator: reviewed on-time orders; missing reviews excluded.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 t="str">
        <x:v>The estimate is not verified as the original customer promise.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 t="str">
        <x:v>Yellow cell: editable month. Other outputs are formula driven.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 t="str">
        <x:v>Monthly data are an exported snapshot; rerun the pipeline to refresh.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 t="str">
        <x:v>Source: Olist public dataset; CC BY-NC-SA 4.0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 t="str">
        <x:v>https://www.kaggle.com/datasets/olistbr/brazilian-ecommerce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 t="str">
        <x:v>Control values: reports/summary.json. Monthly source: reports/monthly_kpis.csv.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</x:sheetData>
  <x:dataValidations count="1">
    <x:dataValidation type="list" sqref="B12">
      <x:formula1>"2016-09,2016-10,2016-12,2017-01,2017-02,2017-03,2017-04,2017-05,2017-06,2017-07,2017-08,2017-09,2017-10,2017-11,2017-12,2018-01,2018-02,2018-03,2018-04,2018-05,2018-06,2018-07,2018-08"</x:formula1>
    </x:dataValidation>
  </x:dataValidations>
  <x:pageMargins left="0.7" right="0.7" top="0.75" bottom="0.75" header="0.3" footer="0.3"/>
  <x:drawing xmlns:r="http://schemas.openxmlformats.org/officeDocument/2006/relationships" r:id="R92c9f3c4c53a47ce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2" t="str">
        <x:v>Monthly delivery and review counts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Source: Olist via the validated SQL mart. Counts are snapshots; rate columns are formulas.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9" t="str">
        <x:v>Purchase month</x:v>
      </x:c>
      <x:c r="B5" s="9" t="str">
        <x:v>Eligible orders</x:v>
      </x:c>
      <x:c r="C5" s="9" t="str">
        <x:v>On-time orders</x:v>
      </x:c>
      <x:c r="D5" s="9" t="str">
        <x:v>Reviewed on time</x:v>
      </x:c>
      <x:c r="E5" s="9" t="str">
        <x:v>Hidden failures</x:v>
      </x:c>
      <x:c r="F5" s="9" t="str">
        <x:v>On-time rate</x:v>
      </x:c>
      <x:c r="G5" s="9" t="str">
        <x:v>Hidden failure rate</x:v>
      </x:c>
      <x:c r="H5" s="8" t="str">
        <x:v>Chart month</x:v>
      </x:c>
      <x:c r="I5" s="1"/>
      <x:c r="J5" s="1"/>
      <x:c r="K5" s="1"/>
      <x:c r="L5" s="1"/>
    </x:row>
    <x:row r="6" ht="23" customHeight="1">
      <x:c r="A6" s="1" t="str">
        <x:v>2016-09</x:v>
      </x:c>
      <x:c r="B6" s="3" t="n">
        <x:v>1</x:v>
      </x:c>
      <x:c r="C6" s="3" t="n">
        <x:v>0</x:v>
      </x:c>
      <x:c r="D6" s="3" t="n">
        <x:v>0</x:v>
      </x:c>
      <x:c r="E6" s="3" t="n">
        <x:v>0</x:v>
      </x:c>
      <x:c r="F6" s="4" t="n">
        <x:f>IF(B6=0,"n.a.",C6/B6)</x:f>
        <x:v>0</x:v>
      </x:c>
      <x:c r="G6" s="4" t="str">
        <x:f>IF(D6=0,"n.a.",E6/D6)</x:f>
        <x:v>n.a.</x:v>
      </x:c>
      <x:c r="H6" s="1" t="str">
        <x:f>RIGHT(A6,2)&amp;"/"&amp;MID(A6,3,2)</x:f>
        <x:v>09/16</x:v>
      </x:c>
      <x:c r="I6" s="1"/>
      <x:c r="J6" s="1"/>
      <x:c r="K6" s="1"/>
      <x:c r="L6" s="1"/>
    </x:row>
    <x:row r="7" ht="23" customHeight="1">
      <x:c r="A7" s="1" t="str">
        <x:v>2016-10</x:v>
      </x:c>
      <x:c r="B7" s="3" t="n">
        <x:v>265</x:v>
      </x:c>
      <x:c r="C7" s="3" t="n">
        <x:v>263</x:v>
      </x:c>
      <x:c r="D7" s="3" t="n">
        <x:v>256</x:v>
      </x:c>
      <x:c r="E7" s="3" t="n">
        <x:v>41</x:v>
      </x:c>
      <x:c r="F7" s="4" t="n">
        <x:f>IF(B7=0,"n.a.",C7/B7)</x:f>
        <x:v>0.9924528301886792</x:v>
      </x:c>
      <x:c r="G7" s="4" t="n">
        <x:f>IF(D7=0,"n.a.",E7/D7)</x:f>
        <x:v>0.16015625</x:v>
      </x:c>
      <x:c r="H7" s="1" t="str">
        <x:f>RIGHT(A7,2)&amp;"/"&amp;MID(A7,3,2)</x:f>
        <x:v>10/16</x:v>
      </x:c>
      <x:c r="I7" s="1"/>
      <x:c r="J7" s="1"/>
      <x:c r="K7" s="1"/>
      <x:c r="L7" s="1"/>
    </x:row>
    <x:row r="8" ht="23" customHeight="1">
      <x:c r="A8" s="1" t="str">
        <x:v>2016-12</x:v>
      </x:c>
      <x:c r="B8" s="3" t="n">
        <x:v>1</x:v>
      </x:c>
      <x:c r="C8" s="3" t="n">
        <x:v>1</x:v>
      </x:c>
      <x:c r="D8" s="3" t="n">
        <x:v>1</x:v>
      </x:c>
      <x:c r="E8" s="3" t="n">
        <x:v>0</x:v>
      </x:c>
      <x:c r="F8" s="4" t="n">
        <x:f>IF(B8=0,"n.a.",C8/B8)</x:f>
        <x:v>1</x:v>
      </x:c>
      <x:c r="G8" s="4" t="n">
        <x:f>IF(D8=0,"n.a.",E8/D8)</x:f>
        <x:v>0</x:v>
      </x:c>
      <x:c r="H8" s="1" t="str">
        <x:f>RIGHT(A8,2)&amp;"/"&amp;MID(A8,3,2)</x:f>
        <x:v>12/16</x:v>
      </x:c>
      <x:c r="I8" s="1"/>
      <x:c r="J8" s="1"/>
      <x:c r="K8" s="1"/>
      <x:c r="L8" s="1"/>
    </x:row>
    <x:row r="9" ht="23" customHeight="1">
      <x:c r="A9" s="1" t="str">
        <x:v>2017-01</x:v>
      </x:c>
      <x:c r="B9" s="3" t="n">
        <x:v>750</x:v>
      </x:c>
      <x:c r="C9" s="3" t="n">
        <x:v>728</x:v>
      </x:c>
      <x:c r="D9" s="3" t="n">
        <x:v>715</x:v>
      </x:c>
      <x:c r="E9" s="3" t="n">
        <x:v>73</x:v>
      </x:c>
      <x:c r="F9" s="4" t="n">
        <x:f>IF(B9=0,"n.a.",C9/B9)</x:f>
        <x:v>0.9706666666666667</x:v>
      </x:c>
      <x:c r="G9" s="4" t="n">
        <x:f>IF(D9=0,"n.a.",E9/D9)</x:f>
        <x:v>0.1020979020979021</x:v>
      </x:c>
      <x:c r="H9" s="1" t="str">
        <x:f>RIGHT(A9,2)&amp;"/"&amp;MID(A9,3,2)</x:f>
        <x:v>01/17</x:v>
      </x:c>
      <x:c r="I9" s="1"/>
      <x:c r="J9" s="1"/>
      <x:c r="K9" s="1"/>
      <x:c r="L9" s="1"/>
    </x:row>
    <x:row r="10" ht="23" customHeight="1">
      <x:c r="A10" s="1" t="str">
        <x:v>2017-02</x:v>
      </x:c>
      <x:c r="B10" s="3" t="n">
        <x:v>1653</x:v>
      </x:c>
      <x:c r="C10" s="3" t="n">
        <x:v>1604</x:v>
      </x:c>
      <x:c r="D10" s="3" t="n">
        <x:v>1598</x:v>
      </x:c>
      <x:c r="E10" s="3" t="n">
        <x:v>153</x:v>
      </x:c>
      <x:c r="F10" s="4" t="n">
        <x:f>IF(B10=0,"n.a.",C10/B10)</x:f>
        <x:v>0.970356926799758</x:v>
      </x:c>
      <x:c r="G10" s="4" t="n">
        <x:f>IF(D10=0,"n.a.",E10/D10)</x:f>
        <x:v>0.09574468085106383</x:v>
      </x:c>
      <x:c r="H10" s="1" t="str">
        <x:f>RIGHT(A10,2)&amp;"/"&amp;MID(A10,3,2)</x:f>
        <x:v>02/17</x:v>
      </x:c>
      <x:c r="I10" s="1"/>
      <x:c r="J10" s="1"/>
      <x:c r="K10" s="1"/>
      <x:c r="L10" s="1"/>
    </x:row>
    <x:row r="11" ht="23" customHeight="1">
      <x:c r="A11" s="1" t="str">
        <x:v>2017-03</x:v>
      </x:c>
      <x:c r="B11" s="3" t="n">
        <x:v>2546</x:v>
      </x:c>
      <x:c r="C11" s="3" t="n">
        <x:v>2430</x:v>
      </x:c>
      <x:c r="D11" s="3" t="n">
        <x:v>2404</x:v>
      </x:c>
      <x:c r="E11" s="3" t="n">
        <x:v>214</x:v>
      </x:c>
      <x:c r="F11" s="4" t="n">
        <x:f>IF(B11=0,"n.a.",C11/B11)</x:f>
        <x:v>0.9544383346425765</x:v>
      </x:c>
      <x:c r="G11" s="4" t="n">
        <x:f>IF(D11=0,"n.a.",E11/D11)</x:f>
        <x:v>0.08901830282861897</x:v>
      </x:c>
      <x:c r="H11" s="1" t="str">
        <x:f>RIGHT(A11,2)&amp;"/"&amp;MID(A11,3,2)</x:f>
        <x:v>03/17</x:v>
      </x:c>
      <x:c r="I11" s="1"/>
      <x:c r="J11" s="1"/>
      <x:c r="K11" s="1"/>
      <x:c r="L11" s="1"/>
    </x:row>
    <x:row r="12" ht="23" customHeight="1">
      <x:c r="A12" s="1" t="str">
        <x:v>2017-04</x:v>
      </x:c>
      <x:c r="B12" s="3" t="n">
        <x:v>2303</x:v>
      </x:c>
      <x:c r="C12" s="3" t="n">
        <x:v>2152</x:v>
      </x:c>
      <x:c r="D12" s="3" t="n">
        <x:v>2135</x:v>
      </x:c>
      <x:c r="E12" s="3" t="n">
        <x:v>207</x:v>
      </x:c>
      <x:c r="F12" s="4" t="n">
        <x:f>IF(B12=0,"n.a.",C12/B12)</x:f>
        <x:v>0.934433347807208</x:v>
      </x:c>
      <x:c r="G12" s="4" t="n">
        <x:f>IF(D12=0,"n.a.",E12/D12)</x:f>
        <x:v>0.09695550351288056</x:v>
      </x:c>
      <x:c r="H12" s="1" t="str">
        <x:f>RIGHT(A12,2)&amp;"/"&amp;MID(A12,3,2)</x:f>
        <x:v>04/17</x:v>
      </x:c>
      <x:c r="I12" s="1"/>
      <x:c r="J12" s="1"/>
      <x:c r="K12" s="1"/>
      <x:c r="L12" s="1"/>
    </x:row>
    <x:row r="13" ht="23" customHeight="1">
      <x:c r="A13" s="1" t="str">
        <x:v>2017-05</x:v>
      </x:c>
      <x:c r="B13" s="3" t="n">
        <x:v>3545</x:v>
      </x:c>
      <x:c r="C13" s="3" t="n">
        <x:v>3439</x:v>
      </x:c>
      <x:c r="D13" s="3" t="n">
        <x:v>3404</x:v>
      </x:c>
      <x:c r="E13" s="3" t="n">
        <x:v>304</x:v>
      </x:c>
      <x:c r="F13" s="4" t="n">
        <x:f>IF(B13=0,"n.a.",C13/B13)</x:f>
        <x:v>0.970098730606488</x:v>
      </x:c>
      <x:c r="G13" s="4" t="n">
        <x:f>IF(D13=0,"n.a.",E13/D13)</x:f>
        <x:v>0.08930669800235018</x:v>
      </x:c>
      <x:c r="H13" s="1" t="str">
        <x:f>RIGHT(A13,2)&amp;"/"&amp;MID(A13,3,2)</x:f>
        <x:v>05/17</x:v>
      </x:c>
      <x:c r="I13" s="1"/>
      <x:c r="J13" s="1"/>
      <x:c r="K13" s="1"/>
      <x:c r="L13" s="1"/>
    </x:row>
    <x:row r="14" ht="23" customHeight="1">
      <x:c r="A14" s="1" t="str">
        <x:v>2017-06</x:v>
      </x:c>
      <x:c r="B14" s="3" t="n">
        <x:v>3135</x:v>
      </x:c>
      <x:c r="C14" s="3" t="n">
        <x:v>3040</x:v>
      </x:c>
      <x:c r="D14" s="3" t="n">
        <x:v>3007</x:v>
      </x:c>
      <x:c r="E14" s="3" t="n">
        <x:v>279</x:v>
      </x:c>
      <x:c r="F14" s="4" t="n">
        <x:f>IF(B14=0,"n.a.",C14/B14)</x:f>
        <x:v>0.9696969696969697</x:v>
      </x:c>
      <x:c r="G14" s="4" t="n">
        <x:f>IF(D14=0,"n.a.",E14/D14)</x:f>
        <x:v>0.09278350515463918</x:v>
      </x:c>
      <x:c r="H14" s="1" t="str">
        <x:f>RIGHT(A14,2)&amp;"/"&amp;MID(A14,3,2)</x:f>
        <x:v>06/17</x:v>
      </x:c>
      <x:c r="I14" s="1"/>
      <x:c r="J14" s="1"/>
      <x:c r="K14" s="1"/>
      <x:c r="L14" s="1"/>
    </x:row>
    <x:row r="15" ht="23" customHeight="1">
      <x:c r="A15" s="1" t="str">
        <x:v>2017-07</x:v>
      </x:c>
      <x:c r="B15" s="3" t="n">
        <x:v>3872</x:v>
      </x:c>
      <x:c r="C15" s="3" t="n">
        <x:v>3764</x:v>
      </x:c>
      <x:c r="D15" s="3" t="n">
        <x:v>3718</x:v>
      </x:c>
      <x:c r="E15" s="3" t="n">
        <x:v>315</x:v>
      </x:c>
      <x:c r="F15" s="4" t="n">
        <x:f>IF(B15=0,"n.a.",C15/B15)</x:f>
        <x:v>0.9721074380165289</x:v>
      </x:c>
      <x:c r="G15" s="4" t="n">
        <x:f>IF(D15=0,"n.a.",E15/D15)</x:f>
        <x:v>0.08472296933835395</x:v>
      </x:c>
      <x:c r="H15" s="1" t="str">
        <x:f>RIGHT(A15,2)&amp;"/"&amp;MID(A15,3,2)</x:f>
        <x:v>07/17</x:v>
      </x:c>
      <x:c r="I15" s="1"/>
      <x:c r="J15" s="1"/>
      <x:c r="K15" s="1"/>
      <x:c r="L15" s="1"/>
    </x:row>
    <x:row r="16" ht="23" customHeight="1">
      <x:c r="A16" s="1" t="str">
        <x:v>2017-08</x:v>
      </x:c>
      <x:c r="B16" s="3" t="n">
        <x:v>4193</x:v>
      </x:c>
      <x:c r="C16" s="3" t="n">
        <x:v>4071</x:v>
      </x:c>
      <x:c r="D16" s="3" t="n">
        <x:v>4019</x:v>
      </x:c>
      <x:c r="E16" s="3" t="n">
        <x:v>328</x:v>
      </x:c>
      <x:c r="F16" s="4" t="n">
        <x:f>IF(B16=0,"n.a.",C16/B16)</x:f>
        <x:v>0.9709038874314333</x:v>
      </x:c>
      <x:c r="G16" s="4" t="n">
        <x:f>IF(D16=0,"n.a.",E16/D16)</x:f>
        <x:v>0.08161234137845236</x:v>
      </x:c>
      <x:c r="H16" s="1" t="str">
        <x:f>RIGHT(A16,2)&amp;"/"&amp;MID(A16,3,2)</x:f>
        <x:v>08/17</x:v>
      </x:c>
      <x:c r="I16" s="1"/>
      <x:c r="J16" s="1"/>
      <x:c r="K16" s="1"/>
      <x:c r="L16" s="1"/>
    </x:row>
    <x:row r="17" ht="23" customHeight="1">
      <x:c r="A17" s="1" t="str">
        <x:v>2017-09</x:v>
      </x:c>
      <x:c r="B17" s="3" t="n">
        <x:v>4150</x:v>
      </x:c>
      <x:c r="C17" s="3" t="n">
        <x:v>3968</x:v>
      </x:c>
      <x:c r="D17" s="3" t="n">
        <x:v>3925</x:v>
      </x:c>
      <x:c r="E17" s="3" t="n">
        <x:v>326</x:v>
      </x:c>
      <x:c r="F17" s="4" t="n">
        <x:f>IF(B17=0,"n.a.",C17/B17)</x:f>
        <x:v>0.9561445783132531</x:v>
      </x:c>
      <x:c r="G17" s="4" t="n">
        <x:f>IF(D17=0,"n.a.",E17/D17)</x:f>
        <x:v>0.08305732484076433</x:v>
      </x:c>
      <x:c r="H17" s="1" t="str">
        <x:f>RIGHT(A17,2)&amp;"/"&amp;MID(A17,3,2)</x:f>
        <x:v>09/17</x:v>
      </x:c>
      <x:c r="I17" s="1"/>
      <x:c r="J17" s="1"/>
      <x:c r="K17" s="1"/>
      <x:c r="L17" s="1"/>
    </x:row>
    <x:row r="18" ht="23" customHeight="1">
      <x:c r="A18" s="1" t="str">
        <x:v>2017-10</x:v>
      </x:c>
      <x:c r="B18" s="3" t="n">
        <x:v>4478</x:v>
      </x:c>
      <x:c r="C18" s="3" t="n">
        <x:v>4291</x:v>
      </x:c>
      <x:c r="D18" s="3" t="n">
        <x:v>4244</x:v>
      </x:c>
      <x:c r="E18" s="3" t="n">
        <x:v>389</x:v>
      </x:c>
      <x:c r="F18" s="4" t="n">
        <x:f>IF(B18=0,"n.a.",C18/B18)</x:f>
        <x:v>0.9582402858418937</x:v>
      </x:c>
      <x:c r="G18" s="4" t="n">
        <x:f>IF(D18=0,"n.a.",E18/D18)</x:f>
        <x:v>0.09165881244109331</x:v>
      </x:c>
      <x:c r="H18" s="1" t="str">
        <x:f>RIGHT(A18,2)&amp;"/"&amp;MID(A18,3,2)</x:f>
        <x:v>10/17</x:v>
      </x:c>
      <x:c r="I18" s="1"/>
      <x:c r="J18" s="1"/>
      <x:c r="K18" s="1"/>
      <x:c r="L18" s="1"/>
    </x:row>
    <x:row r="19" ht="23" customHeight="1">
      <x:c r="A19" s="1" t="str">
        <x:v>2017-11</x:v>
      </x:c>
      <x:c r="B19" s="3" t="n">
        <x:v>7288</x:v>
      </x:c>
      <x:c r="C19" s="3" t="n">
        <x:v>6384</x:v>
      </x:c>
      <x:c r="D19" s="3" t="n">
        <x:v>6325</x:v>
      </x:c>
      <x:c r="E19" s="3" t="n">
        <x:v>625</x:v>
      </x:c>
      <x:c r="F19" s="4" t="n">
        <x:f>IF(B19=0,"n.a.",C19/B19)</x:f>
        <x:v>0.8759604829857299</x:v>
      </x:c>
      <x:c r="G19" s="4" t="n">
        <x:f>IF(D19=0,"n.a.",E19/D19)</x:f>
        <x:v>0.09881422924901186</x:v>
      </x:c>
      <x:c r="H19" s="1" t="str">
        <x:f>RIGHT(A19,2)&amp;"/"&amp;MID(A19,3,2)</x:f>
        <x:v>11/17</x:v>
      </x:c>
      <x:c r="I19" s="1"/>
      <x:c r="J19" s="1"/>
      <x:c r="K19" s="1"/>
      <x:c r="L19" s="1"/>
    </x:row>
    <x:row r="20" ht="23" customHeight="1">
      <x:c r="A20" s="1" t="str">
        <x:v>2017-12</x:v>
      </x:c>
      <x:c r="B20" s="3" t="n">
        <x:v>5513</x:v>
      </x:c>
      <x:c r="C20" s="3" t="n">
        <x:v>5102</x:v>
      </x:c>
      <x:c r="D20" s="3" t="n">
        <x:v>5050</x:v>
      </x:c>
      <x:c r="E20" s="3" t="n">
        <x:v>509</x:v>
      </x:c>
      <x:c r="F20" s="4" t="n">
        <x:f>IF(B20=0,"n.a.",C20/B20)</x:f>
        <x:v>0.9254489388717576</x:v>
      </x:c>
      <x:c r="G20" s="4" t="n">
        <x:f>IF(D20=0,"n.a.",E20/D20)</x:f>
        <x:v>0.1007920792079208</x:v>
      </x:c>
      <x:c r="H20" s="1" t="str">
        <x:f>RIGHT(A20,2)&amp;"/"&amp;MID(A20,3,2)</x:f>
        <x:v>12/17</x:v>
      </x:c>
      <x:c r="I20" s="1"/>
      <x:c r="J20" s="1"/>
      <x:c r="K20" s="1"/>
      <x:c r="L20" s="1"/>
    </x:row>
    <x:row r="21" ht="23" customHeight="1">
      <x:c r="A21" s="1" t="str">
        <x:v>2018-01</x:v>
      </x:c>
      <x:c r="B21" s="3" t="n">
        <x:v>7069</x:v>
      </x:c>
      <x:c r="C21" s="3" t="n">
        <x:v>6666</x:v>
      </x:c>
      <x:c r="D21" s="3" t="n">
        <x:v>6588</x:v>
      </x:c>
      <x:c r="E21" s="3" t="n">
        <x:v>678</x:v>
      </x:c>
      <x:c r="F21" s="4" t="n">
        <x:f>IF(B21=0,"n.a.",C21/B21)</x:f>
        <x:v>0.9429905219974537</x:v>
      </x:c>
      <x:c r="G21" s="4" t="n">
        <x:f>IF(D21=0,"n.a.",E21/D21)</x:f>
        <x:v>0.1029143897996357</x:v>
      </x:c>
      <x:c r="H21" s="1" t="str">
        <x:f>RIGHT(A21,2)&amp;"/"&amp;MID(A21,3,2)</x:f>
        <x:v>01/18</x:v>
      </x:c>
      <x:c r="I21" s="1"/>
      <x:c r="J21" s="1"/>
      <x:c r="K21" s="1"/>
      <x:c r="L21" s="1"/>
    </x:row>
    <x:row r="22" ht="23" customHeight="1">
      <x:c r="A22" s="1" t="str">
        <x:v>2018-02</x:v>
      </x:c>
      <x:c r="B22" s="3" t="n">
        <x:v>6555</x:v>
      </x:c>
      <x:c r="C22" s="3" t="n">
        <x:v>5629</x:v>
      </x:c>
      <x:c r="D22" s="3" t="n">
        <x:v>5552</x:v>
      </x:c>
      <x:c r="E22" s="3" t="n">
        <x:v>591</x:v>
      </x:c>
      <x:c r="F22" s="4" t="n">
        <x:f>IF(B22=0,"n.a.",C22/B22)</x:f>
        <x:v>0.8587337909992372</x:v>
      </x:c>
      <x:c r="G22" s="4" t="n">
        <x:f>IF(D22=0,"n.a.",E22/D22)</x:f>
        <x:v>0.10644812680115273</x:v>
      </x:c>
      <x:c r="H22" s="1" t="str">
        <x:f>RIGHT(A22,2)&amp;"/"&amp;MID(A22,3,2)</x:f>
        <x:v>02/18</x:v>
      </x:c>
      <x:c r="I22" s="1"/>
      <x:c r="J22" s="1"/>
      <x:c r="K22" s="1"/>
      <x:c r="L22" s="1"/>
    </x:row>
    <x:row r="23" ht="23" customHeight="1">
      <x:c r="A23" s="1" t="str">
        <x:v>2018-03</x:v>
      </x:c>
      <x:c r="B23" s="3" t="n">
        <x:v>7003</x:v>
      </x:c>
      <x:c r="C23" s="3" t="n">
        <x:v>5675</x:v>
      </x:c>
      <x:c r="D23" s="3" t="n">
        <x:v>5632</x:v>
      </x:c>
      <x:c r="E23" s="3" t="n">
        <x:v>588</x:v>
      </x:c>
      <x:c r="F23" s="4" t="n">
        <x:f>IF(B23=0,"n.a.",C23/B23)</x:f>
        <x:v>0.8103669855776096</x:v>
      </x:c>
      <x:c r="G23" s="4" t="n">
        <x:f>IF(D23=0,"n.a.",E23/D23)</x:f>
        <x:v>0.10440340909090909</x:v>
      </x:c>
      <x:c r="H23" s="1" t="str">
        <x:f>RIGHT(A23,2)&amp;"/"&amp;MID(A23,3,2)</x:f>
        <x:v>03/18</x:v>
      </x:c>
      <x:c r="I23" s="1"/>
      <x:c r="J23" s="1"/>
      <x:c r="K23" s="1"/>
      <x:c r="L23" s="1"/>
    </x:row>
    <x:row r="24" ht="23" customHeight="1">
      <x:c r="A24" s="1" t="str">
        <x:v>2018-04</x:v>
      </x:c>
      <x:c r="B24" s="3" t="n">
        <x:v>6798</x:v>
      </x:c>
      <x:c r="C24" s="3" t="n">
        <x:v>6492</x:v>
      </x:c>
      <x:c r="D24" s="3" t="n">
        <x:v>6449</x:v>
      </x:c>
      <x:c r="E24" s="3" t="n">
        <x:v>606</x:v>
      </x:c>
      <x:c r="F24" s="4" t="n">
        <x:f>IF(B24=0,"n.a.",C24/B24)</x:f>
        <x:v>0.9549867608120035</x:v>
      </x:c>
      <x:c r="G24" s="4" t="n">
        <x:f>IF(D24=0,"n.a.",E24/D24)</x:f>
        <x:v>0.09396805706311057</x:v>
      </x:c>
      <x:c r="H24" s="1" t="str">
        <x:f>RIGHT(A24,2)&amp;"/"&amp;MID(A24,3,2)</x:f>
        <x:v>04/18</x:v>
      </x:c>
      <x:c r="I24" s="1"/>
      <x:c r="J24" s="1"/>
      <x:c r="K24" s="1"/>
      <x:c r="L24" s="1"/>
    </x:row>
    <x:row r="25" ht="23" customHeight="1">
      <x:c r="A25" s="1" t="str">
        <x:v>2018-05</x:v>
      </x:c>
      <x:c r="B25" s="3" t="n">
        <x:v>6749</x:v>
      </x:c>
      <x:c r="C25" s="3" t="n">
        <x:v>6306</x:v>
      </x:c>
      <x:c r="D25" s="3" t="n">
        <x:v>6281</x:v>
      </x:c>
      <x:c r="E25" s="3" t="n">
        <x:v>520</x:v>
      </x:c>
      <x:c r="F25" s="4" t="n">
        <x:f>IF(B25=0,"n.a.",C25/B25)</x:f>
        <x:v>0.9343606460216328</x:v>
      </x:c>
      <x:c r="G25" s="4" t="n">
        <x:f>IF(D25=0,"n.a.",E25/D25)</x:f>
        <x:v>0.08278936475083586</x:v>
      </x:c>
      <x:c r="H25" s="1" t="str">
        <x:f>RIGHT(A25,2)&amp;"/"&amp;MID(A25,3,2)</x:f>
        <x:v>05/18</x:v>
      </x:c>
      <x:c r="I25" s="1"/>
      <x:c r="J25" s="1"/>
      <x:c r="K25" s="1"/>
      <x:c r="L25" s="1"/>
    </x:row>
    <x:row r="26" ht="23" customHeight="1">
      <x:c r="A26" s="1" t="str">
        <x:v>2018-06</x:v>
      </x:c>
      <x:c r="B26" s="3" t="n">
        <x:v>6096</x:v>
      </x:c>
      <x:c r="C26" s="3" t="n">
        <x:v>6025</x:v>
      </x:c>
      <x:c r="D26" s="3" t="n">
        <x:v>5996</x:v>
      </x:c>
      <x:c r="E26" s="3" t="n">
        <x:v>562</x:v>
      </x:c>
      <x:c r="F26" s="4" t="n">
        <x:f>IF(B26=0,"n.a.",C26/B26)</x:f>
        <x:v>0.9883530183727034</x:v>
      </x:c>
      <x:c r="G26" s="4" t="n">
        <x:f>IF(D26=0,"n.a.",E26/D26)</x:f>
        <x:v>0.09372915276851235</x:v>
      </x:c>
      <x:c r="H26" s="1" t="str">
        <x:f>RIGHT(A26,2)&amp;"/"&amp;MID(A26,3,2)</x:f>
        <x:v>06/18</x:v>
      </x:c>
      <x:c r="I26" s="1"/>
      <x:c r="J26" s="1"/>
      <x:c r="K26" s="1"/>
      <x:c r="L26" s="1"/>
    </x:row>
    <x:row r="27" ht="23" customHeight="1">
      <x:c r="A27" s="1" t="str">
        <x:v>2018-07</x:v>
      </x:c>
      <x:c r="B27" s="3" t="n">
        <x:v>6156</x:v>
      </x:c>
      <x:c r="C27" s="3" t="n">
        <x:v>5948</x:v>
      </x:c>
      <x:c r="D27" s="3" t="n">
        <x:v>5908</x:v>
      </x:c>
      <x:c r="E27" s="3" t="n">
        <x:v>490</x:v>
      </x:c>
      <x:c r="F27" s="4" t="n">
        <x:f>IF(B27=0,"n.a.",C27/B27)</x:f>
        <x:v>0.9662118258609487</x:v>
      </x:c>
      <x:c r="G27" s="4" t="n">
        <x:f>IF(D27=0,"n.a.",E27/D27)</x:f>
        <x:v>0.08293838862559241</x:v>
      </x:c>
      <x:c r="H27" s="1" t="str">
        <x:f>RIGHT(A27,2)&amp;"/"&amp;MID(A27,3,2)</x:f>
        <x:v>07/18</x:v>
      </x:c>
      <x:c r="I27" s="1"/>
      <x:c r="J27" s="1"/>
      <x:c r="K27" s="1"/>
      <x:c r="L27" s="1"/>
    </x:row>
    <x:row r="28" ht="23" customHeight="1">
      <x:c r="A28" s="1" t="str">
        <x:v>2018-08</x:v>
      </x:c>
      <x:c r="B28" s="3" t="n">
        <x:v>6351</x:v>
      </x:c>
      <x:c r="C28" s="3" t="n">
        <x:v>5958</x:v>
      </x:c>
      <x:c r="D28" s="3" t="n">
        <x:v>5944</x:v>
      </x:c>
      <x:c r="E28" s="3" t="n">
        <x:v>440</x:v>
      </x:c>
      <x:c r="F28" s="4" t="n">
        <x:f>IF(B28=0,"n.a.",C28/B28)</x:f>
        <x:v>0.9381199811053378</x:v>
      </x:c>
      <x:c r="G28" s="4" t="n">
        <x:f>IF(D28=0,"n.a.",E28/D28)</x:f>
        <x:v>0.0740242261103634</x:v>
      </x:c>
      <x:c r="H28" s="1" t="str">
        <x:f>RIGHT(A28,2)&amp;"/"&amp;MID(A28,3,2)</x:f>
        <x:v>08/18</x:v>
      </x:c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</x:sheetData>
  <x:pageMargins left="0.7" right="0.7" top="0.75" bottom="0.75" header="0.3" footer="0.3"/>
</x:worksheet>
</file>